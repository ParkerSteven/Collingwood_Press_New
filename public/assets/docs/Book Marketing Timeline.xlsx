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unazah\Collingwood Press\Website\Author Resource Library_Templates\"/>
    </mc:Choice>
  </mc:AlternateContent>
  <xr:revisionPtr revIDLastSave="0" documentId="13_ncr:1_{FF87C303-FDDC-4D3D-B29A-0BB71124C200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How to Use This" sheetId="1" r:id="rId1"/>
    <sheet name="Timelin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2" l="1"/>
  <c r="B31" i="2" s="1"/>
  <c r="B28" i="2" l="1"/>
  <c r="B8" i="2"/>
  <c r="B16" i="2"/>
  <c r="B24" i="2"/>
  <c r="B9" i="2"/>
  <c r="B13" i="2"/>
  <c r="B17" i="2"/>
  <c r="B21" i="2"/>
  <c r="B25" i="2"/>
  <c r="B29" i="2"/>
  <c r="B10" i="2"/>
  <c r="B14" i="2"/>
  <c r="B18" i="2"/>
  <c r="B22" i="2"/>
  <c r="B26" i="2"/>
  <c r="B30" i="2"/>
  <c r="B12" i="2"/>
  <c r="B20" i="2"/>
  <c r="B7" i="2"/>
  <c r="B11" i="2"/>
  <c r="B15" i="2"/>
  <c r="B19" i="2"/>
  <c r="B23" i="2"/>
  <c r="B27" i="2"/>
</calcChain>
</file>

<file path=xl/sharedStrings.xml><?xml version="1.0" encoding="utf-8"?>
<sst xmlns="http://schemas.openxmlformats.org/spreadsheetml/2006/main" count="100" uniqueCount="51">
  <si>
    <t>12-Week Book Marketing Timeline</t>
  </si>
  <si>
    <t>A week-by-week planner covering pre-launch, launch week, and the four weeks after — the period most authors under-plan for.</t>
  </si>
  <si>
    <t>How This Spreadsheet Is Organized</t>
  </si>
  <si>
    <t>—  The "Timeline" tab covers Weeks -8 through +4 relative to your launch date (Week 0).</t>
  </si>
  <si>
    <t>—  Each row is one task, with columns for the responsible person, status, and notes.</t>
  </si>
  <si>
    <t>—  Tasks are grouped by phase — Pre-Launch, Launch Week, and Post-Launch — color-coded so you can see your current phase at a glance.</t>
  </si>
  <si>
    <t>How to Use It</t>
  </si>
  <si>
    <t>—  Enter your actual launch date in the "Timeline" tab, cell B1 — every week label updates relative to it automatically.</t>
  </si>
  <si>
    <t>—  Update the Status column as you go: Not Started, In Progress, Done, or Blocked.</t>
  </si>
  <si>
    <t>—  Add or remove rows freely — this is a starting structure, not a fixed list. Every book's marketing plan looks a little different.</t>
  </si>
  <si>
    <t>—  Assign an Owner to each task, even if that's just your own name or "Collingwood Press" for tasks we're handling on your behalf.</t>
  </si>
  <si>
    <t>Need Help Executing This Plan?</t>
  </si>
  <si>
    <t>—  Collingwood Press's marketing team can run this entire timeline for you — Amazon optimization, social campaigns, and review outreach. Visit thecollingwoodpress.com or email info@thecollingwoodpress.com.</t>
  </si>
  <si>
    <t>Launch Date:</t>
  </si>
  <si>
    <t>← Enter your real launch date here</t>
  </si>
  <si>
    <t>Week</t>
  </si>
  <si>
    <t>Phase</t>
  </si>
  <si>
    <t>Task</t>
  </si>
  <si>
    <t>Owner</t>
  </si>
  <si>
    <t>Status</t>
  </si>
  <si>
    <t>Notes</t>
  </si>
  <si>
    <t>Pre-Launch</t>
  </si>
  <si>
    <t>Finalize manuscript, cover, and back-cover copy</t>
  </si>
  <si>
    <t>Not Started</t>
  </si>
  <si>
    <t>Set up or update your author website and email list signup</t>
  </si>
  <si>
    <t>Identify 15-20 book bloggers/reviewers in your genre</t>
  </si>
  <si>
    <t>Order/request Advance Reader Copies (ARCs) or ARC eBook files</t>
  </si>
  <si>
    <t>Send ARCs to reviewers with a clear, polite deadline</t>
  </si>
  <si>
    <t>Draft your Amazon/retailer book description and keywords</t>
  </si>
  <si>
    <t>Set up Amazon Author Central / retailer author profiles</t>
  </si>
  <si>
    <t>Plan your launch week social content calendar</t>
  </si>
  <si>
    <t>Reach out to podcasts or newsletters for launch-week features</t>
  </si>
  <si>
    <t>Announce cover reveal to your email list and social channels</t>
  </si>
  <si>
    <t>Confirm pre-order links are live on all retailers</t>
  </si>
  <si>
    <t>Begin countdown content: excerpts, behind-the-scenes posts</t>
  </si>
  <si>
    <t>Follow up with reviewers who haven't yet posted</t>
  </si>
  <si>
    <t>Finalize launch-day email to your list</t>
  </si>
  <si>
    <t>Schedule all launch-day social posts in advance</t>
  </si>
  <si>
    <t>Remind your personal network — friends, family, colleagues</t>
  </si>
  <si>
    <t>Launch Week</t>
  </si>
  <si>
    <t>Publish/release the book across all retailers</t>
  </si>
  <si>
    <t>Send launch-day email to your list</t>
  </si>
  <si>
    <t>Post launch announcement across all social channels</t>
  </si>
  <si>
    <t>Ask early readers to leave a review in the first 48 hours</t>
  </si>
  <si>
    <t>Post-Launch</t>
  </si>
  <si>
    <t>Monitor keyword rankings and adjust Amazon metadata if needed</t>
  </si>
  <si>
    <t>Share early reader reactions and reviews on social media</t>
  </si>
  <si>
    <t>Pitch local media, bookstores, or libraries for events</t>
  </si>
  <si>
    <t>Evaluate ad spend results if running Amazon/social ads</t>
  </si>
  <si>
    <t>Plan next-phase marketing: sequel teasers, box sets, or promotions</t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</si>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</sst>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mmmm\ d&quot;, &quot;yyyy"/>
    <numFmt numFmtId="165" formatCode="mmm\ d&quot; (Wk -8)&quot;"/>
    <numFmt numFmtId="166" formatCode="mmm\ d&quot; (Wk -7)&quot;"/>
    <numFmt numFmtId="167" formatCode="mmm\ d&quot; (Wk -6)&quot;"/>
    <numFmt numFmtId="168" formatCode="mmm\ d&quot; (Wk -5)&quot;"/>
    <numFmt numFmtId="169" formatCode="mmm\ d&quot; (Wk -4)&quot;"/>
    <numFmt numFmtId="170" formatCode="mmm\ d&quot; (Wk -3)&quot;"/>
    <numFmt numFmtId="171" formatCode="mmm\ d&quot; (Wk -2)&quot;"/>
    <numFmt numFmtId="172" formatCode="mmm\ d&quot; (Wk -1)&quot;"/>
    <numFmt numFmtId="173" formatCode="mmm\ d&quot; (Wk 0)&quot;"/>
    <numFmt numFmtId="174" formatCode="mmm\ d&quot; (Wk 1)&quot;"/>
    <numFmt numFmtId="175" formatCode="mmm\ d&quot; (Wk 2)&quot;"/>
    <numFmt numFmtId="176" formatCode="mmm\ d&quot; (Wk 3)&quot;"/>
    <numFmt numFmtId="177" formatCode="mmm\ d&quot; (Wk 4)&quot;"/>
  </numFmts>
  <fonts count="13" x14ac:knownFonts="1">
    <font>
      <sz val="11"/>
      <color theme="1"/>
      <name val="Calibri"/>
      <family val="2"/>
      <charset val="1"/>
    </font>
    <font>
      <b/>
      <sz val="10"/>
      <color rgb="FFB08A46"/>
      <name val="Calibri"/>
      <charset val="1"/>
    </font>
    <font>
      <i/>
      <sz val="11"/>
      <color rgb="FF333333"/>
      <name val="Calibri"/>
      <charset val="1"/>
    </font>
    <font>
      <sz val="11"/>
      <color rgb="FF333333"/>
      <name val="Calibri"/>
      <charset val="1"/>
    </font>
    <font>
      <b/>
      <sz val="11"/>
      <color rgb="FF1F2A3D"/>
      <name val="Calibri"/>
      <charset val="1"/>
    </font>
    <font>
      <b/>
      <sz val="11"/>
      <color rgb="FFB08A46"/>
      <name val="Calibri"/>
      <charset val="1"/>
    </font>
    <font>
      <i/>
      <sz val="9"/>
      <color rgb="FF6B6458"/>
      <name val="Calibri"/>
      <charset val="1"/>
    </font>
    <font>
      <b/>
      <sz val="10.5"/>
      <color rgb="FFF4EFE2"/>
      <name val="Calibri"/>
      <charset val="1"/>
    </font>
    <font>
      <sz val="10.5"/>
      <color rgb="FF2C2A26"/>
      <name val="Calibri"/>
      <charset val="1"/>
    </font>
    <font>
      <b/>
      <sz val="10"/>
      <color rgb="FF1F2A3D"/>
      <name val="Calibri"/>
      <charset val="1"/>
    </font>
    <font>
      <sz val="9.5"/>
      <color rgb="FF2C2A26"/>
      <name val="Calibri"/>
      <charset val="1"/>
    </font>
    <font>
      <b/>
      <sz val="18"/>
      <color rgb="FFFB6A5E"/>
      <name val="Georgia"/>
      <family val="1"/>
    </font>
    <font>
      <b/>
      <sz val="12"/>
      <color rgb="FFFB6A5E"/>
      <name val="Georg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DF6"/>
        <bgColor rgb="FFF4EFE2"/>
      </patternFill>
    </fill>
    <fill>
      <patternFill patternType="solid">
        <fgColor rgb="FF1F2A3D"/>
        <bgColor rgb="FF2C2A26"/>
      </patternFill>
    </fill>
    <fill>
      <patternFill patternType="solid">
        <fgColor rgb="FFF0E8D8"/>
        <bgColor rgb="FFF4EFE2"/>
      </patternFill>
    </fill>
    <fill>
      <patternFill patternType="solid">
        <fgColor rgb="FFE6D4AA"/>
        <bgColor rgb="FFDCD2BC"/>
      </patternFill>
    </fill>
    <fill>
      <patternFill patternType="solid">
        <fgColor rgb="FFEAF0E7"/>
        <bgColor rgb="FFF4EFE2"/>
      </patternFill>
    </fill>
  </fills>
  <borders count="7">
    <border>
      <left/>
      <right/>
      <top/>
      <bottom/>
      <diagonal/>
    </border>
    <border>
      <left style="thin">
        <color rgb="FFB08A46"/>
      </left>
      <right style="thin">
        <color rgb="FFB08A46"/>
      </right>
      <top style="thin">
        <color rgb="FFB08A46"/>
      </top>
      <bottom style="thin">
        <color rgb="FFB08A46"/>
      </bottom>
      <diagonal/>
    </border>
    <border>
      <left style="thin">
        <color rgb="FF1F2A3D"/>
      </left>
      <right style="thin">
        <color rgb="FF1F2A3D"/>
      </right>
      <top style="thin">
        <color rgb="FF1F2A3D"/>
      </top>
      <bottom style="thin">
        <color rgb="FF1F2A3D"/>
      </bottom>
      <diagonal/>
    </border>
    <border>
      <left style="thin">
        <color rgb="FFDCD2BC"/>
      </left>
      <right style="thin">
        <color rgb="FFDCD2BC"/>
      </right>
      <top style="thin">
        <color rgb="FFDCD2BC"/>
      </top>
      <bottom style="thin">
        <color rgb="FFDCD2B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4" fillId="0" borderId="0" xfId="0" applyFont="1"/>
    <xf numFmtId="164" fontId="5" fillId="2" borderId="1" xfId="0" applyNumberFormat="1" applyFont="1" applyFill="1" applyBorder="1"/>
    <xf numFmtId="0" fontId="6" fillId="0" borderId="0" xfId="0" applyFont="1"/>
    <xf numFmtId="0" fontId="7" fillId="3" borderId="2" xfId="0" applyFont="1" applyFill="1" applyBorder="1" applyAlignment="1">
      <alignment vertical="center"/>
    </xf>
    <xf numFmtId="165" fontId="8" fillId="4" borderId="3" xfId="0" applyNumberFormat="1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 wrapText="1"/>
    </xf>
    <xf numFmtId="166" fontId="8" fillId="4" borderId="3" xfId="0" applyNumberFormat="1" applyFont="1" applyFill="1" applyBorder="1" applyAlignment="1">
      <alignment vertical="center"/>
    </xf>
    <xf numFmtId="167" fontId="8" fillId="4" borderId="3" xfId="0" applyNumberFormat="1" applyFont="1" applyFill="1" applyBorder="1" applyAlignment="1">
      <alignment vertical="center"/>
    </xf>
    <xf numFmtId="168" fontId="8" fillId="4" borderId="3" xfId="0" applyNumberFormat="1" applyFont="1" applyFill="1" applyBorder="1" applyAlignment="1">
      <alignment vertical="center"/>
    </xf>
    <xf numFmtId="169" fontId="8" fillId="4" borderId="3" xfId="0" applyNumberFormat="1" applyFont="1" applyFill="1" applyBorder="1" applyAlignment="1">
      <alignment vertical="center"/>
    </xf>
    <xf numFmtId="170" fontId="8" fillId="4" borderId="3" xfId="0" applyNumberFormat="1" applyFont="1" applyFill="1" applyBorder="1" applyAlignment="1">
      <alignment vertical="center"/>
    </xf>
    <xf numFmtId="171" fontId="8" fillId="4" borderId="3" xfId="0" applyNumberFormat="1" applyFont="1" applyFill="1" applyBorder="1" applyAlignment="1">
      <alignment vertical="center"/>
    </xf>
    <xf numFmtId="172" fontId="8" fillId="4" borderId="3" xfId="0" applyNumberFormat="1" applyFont="1" applyFill="1" applyBorder="1" applyAlignment="1">
      <alignment vertical="center"/>
    </xf>
    <xf numFmtId="173" fontId="8" fillId="5" borderId="3" xfId="0" applyNumberFormat="1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 wrapText="1"/>
    </xf>
    <xf numFmtId="174" fontId="8" fillId="6" borderId="3" xfId="0" applyNumberFormat="1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 wrapText="1"/>
    </xf>
    <xf numFmtId="175" fontId="8" fillId="6" borderId="3" xfId="0" applyNumberFormat="1" applyFont="1" applyFill="1" applyBorder="1" applyAlignment="1">
      <alignment vertical="center"/>
    </xf>
    <xf numFmtId="176" fontId="8" fillId="6" borderId="3" xfId="0" applyNumberFormat="1" applyFont="1" applyFill="1" applyBorder="1" applyAlignment="1">
      <alignment vertical="center"/>
    </xf>
    <xf numFmtId="177" fontId="8" fillId="6" borderId="3" xfId="0" applyNumberFormat="1" applyFont="1" applyFill="1" applyBorder="1" applyAlignment="1">
      <alignment vertical="center"/>
    </xf>
    <xf numFmtId="0" fontId="9" fillId="0" borderId="0" xfId="0" applyFont="1"/>
    <xf numFmtId="0" fontId="10" fillId="4" borderId="3" xfId="0" applyFont="1" applyFill="1" applyBorder="1"/>
    <xf numFmtId="0" fontId="10" fillId="5" borderId="3" xfId="0" applyFont="1" applyFill="1" applyBorder="1"/>
    <xf numFmtId="0" fontId="10" fillId="6" borderId="3" xfId="0" applyFont="1" applyFill="1" applyBorder="1"/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2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D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CD2BC"/>
      <rgbColor rgb="FF808080"/>
      <rgbColor rgb="FF9999FF"/>
      <rgbColor rgb="FF993366"/>
      <rgbColor rgb="FFF4EFE2"/>
      <rgbColor rgb="FFEAF0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8D8"/>
      <rgbColor rgb="FFFFFF99"/>
      <rgbColor rgb="FF99CCFF"/>
      <rgbColor rgb="FFFF99CC"/>
      <rgbColor rgb="FFCC99FF"/>
      <rgbColor rgb="FFE6D4AA"/>
      <rgbColor rgb="FF3366FF"/>
      <rgbColor rgb="FF33CCCC"/>
      <rgbColor rgb="FF99CC00"/>
      <rgbColor rgb="FFFFCC00"/>
      <rgbColor rgb="FFFF9900"/>
      <rgbColor rgb="FFFF6600"/>
      <rgbColor rgb="FF6B6458"/>
      <rgbColor rgb="FFB08A46"/>
      <rgbColor rgb="FF1F2A3D"/>
      <rgbColor rgb="FF339966"/>
      <rgbColor rgb="FF003300"/>
      <rgbColor rgb="FF2C2A26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6A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1845034</xdr:colOff>
      <xdr:row>0</xdr:row>
      <xdr:rowOff>146768</xdr:rowOff>
    </xdr:from>
    <xdr:to>
      <xdr:col>1</xdr:col>
      <xdr:colOff>5324724</xdr:colOff>
      <xdr:row>2</xdr:row>
      <xdr:rowOff>146768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C7D1EF-D76C-9873-2A3E-7A65D3C967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616" b="44871"/>
        <a:stretch>
          <a:fillRect/>
        </a:stretch>
      </xdr:blipFill>
      <xdr:spPr bwMode="auto">
        <a:xfrm>
          <a:off x="2116704" y="146768"/>
          <a:ext cx="3479690" cy="37106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891540</xdr:colOff>
      <xdr:row>0</xdr:row>
      <xdr:rowOff>91440</xdr:rowOff>
    </xdr:from>
    <xdr:to>
      <xdr:col>4</xdr:col>
      <xdr:colOff>1216550</xdr:colOff>
      <xdr:row>2</xdr:row>
      <xdr:rowOff>96741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6ACD4F-AE3C-479A-B49E-F3026A51DF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616" b="44871"/>
        <a:stretch>
          <a:fillRect/>
        </a:stretch>
      </xdr:blipFill>
      <xdr:spPr bwMode="auto">
        <a:xfrm>
          <a:off x="3543300" y="91440"/>
          <a:ext cx="3479690" cy="37106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B20"/>
  <sheetViews>
    <sheetView showGridLines="0" zoomScale="115" zoomScaleNormal="115" workbookViewId="0">
      <selection activeCell="B21" sqref="B21"/>
    </sheetView>
  </sheetViews>
  <sheetFormatPr defaultColWidth="8.6640625" defaultRowHeight="14.4" x14ac:dyDescent="0.3"/>
  <cols>
    <col min="1" max="1" width="4" customWidth="1"/>
    <col min="2" max="2" width="109.21875" customWidth="1"/>
  </cols>
  <sheetData>
    <row r="4" spans="2:2" ht="15" thickBot="1" x14ac:dyDescent="0.35">
      <c r="B4" s="1"/>
    </row>
    <row r="5" spans="2:2" ht="22.8" x14ac:dyDescent="0.3">
      <c r="B5" s="33" t="s">
        <v>0</v>
      </c>
    </row>
    <row r="6" spans="2:2" x14ac:dyDescent="0.3">
      <c r="B6" s="29" t="s">
        <v>1</v>
      </c>
    </row>
    <row r="7" spans="2:2" x14ac:dyDescent="0.3">
      <c r="B7" s="30"/>
    </row>
    <row r="8" spans="2:2" ht="15.6" x14ac:dyDescent="0.3">
      <c r="B8" s="34" t="s">
        <v>2</v>
      </c>
    </row>
    <row r="9" spans="2:2" ht="30" customHeight="1" x14ac:dyDescent="0.3">
      <c r="B9" s="31" t="s">
        <v>3</v>
      </c>
    </row>
    <row r="10" spans="2:2" ht="30" customHeight="1" x14ac:dyDescent="0.3">
      <c r="B10" s="31" t="s">
        <v>4</v>
      </c>
    </row>
    <row r="11" spans="2:2" ht="30" customHeight="1" x14ac:dyDescent="0.3">
      <c r="B11" s="31" t="s">
        <v>5</v>
      </c>
    </row>
    <row r="12" spans="2:2" x14ac:dyDescent="0.3">
      <c r="B12" s="30"/>
    </row>
    <row r="13" spans="2:2" ht="15.6" x14ac:dyDescent="0.3">
      <c r="B13" s="34" t="s">
        <v>6</v>
      </c>
    </row>
    <row r="14" spans="2:2" ht="30" customHeight="1" x14ac:dyDescent="0.3">
      <c r="B14" s="31" t="s">
        <v>7</v>
      </c>
    </row>
    <row r="15" spans="2:2" ht="30" customHeight="1" x14ac:dyDescent="0.3">
      <c r="B15" s="31" t="s">
        <v>8</v>
      </c>
    </row>
    <row r="16" spans="2:2" ht="30" customHeight="1" x14ac:dyDescent="0.3">
      <c r="B16" s="31" t="s">
        <v>9</v>
      </c>
    </row>
    <row r="17" spans="2:2" ht="30" customHeight="1" x14ac:dyDescent="0.3">
      <c r="B17" s="31" t="s">
        <v>10</v>
      </c>
    </row>
    <row r="18" spans="2:2" x14ac:dyDescent="0.3">
      <c r="B18" s="30"/>
    </row>
    <row r="19" spans="2:2" ht="15.6" x14ac:dyDescent="0.3">
      <c r="B19" s="34" t="s">
        <v>11</v>
      </c>
    </row>
    <row r="20" spans="2:2" ht="30" customHeight="1" thickBot="1" x14ac:dyDescent="0.35">
      <c r="B20" s="32" t="s">
        <v>12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36"/>
  <sheetViews>
    <sheetView showGridLines="0" tabSelected="1" zoomScaleNormal="100" workbookViewId="0">
      <pane ySplit="6" topLeftCell="A13" activePane="bottomLeft" state="frozen"/>
      <selection pane="bottomLeft"/>
    </sheetView>
  </sheetViews>
  <sheetFormatPr defaultColWidth="8.6640625" defaultRowHeight="14.4" x14ac:dyDescent="0.3"/>
  <cols>
    <col min="2" max="2" width="14" customWidth="1"/>
    <col min="3" max="3" width="16" customWidth="1"/>
    <col min="4" max="4" width="46" customWidth="1"/>
    <col min="5" max="5" width="18" customWidth="1"/>
    <col min="6" max="6" width="14" customWidth="1"/>
    <col min="7" max="7" width="40" customWidth="1"/>
  </cols>
  <sheetData>
    <row r="4" spans="2:7" x14ac:dyDescent="0.3">
      <c r="B4" s="2" t="s">
        <v>13</v>
      </c>
      <c r="C4" s="3">
        <f ca="1">TODAY()+56</f>
        <v>46303</v>
      </c>
      <c r="D4" s="4" t="s">
        <v>14</v>
      </c>
    </row>
    <row r="6" spans="2:7" x14ac:dyDescent="0.3"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</row>
    <row r="7" spans="2:7" x14ac:dyDescent="0.3">
      <c r="B7" s="6">
        <f ca="1">$C$4+(-8*7)</f>
        <v>46247</v>
      </c>
      <c r="C7" s="7" t="s">
        <v>21</v>
      </c>
      <c r="D7" s="8" t="s">
        <v>22</v>
      </c>
      <c r="E7" s="7"/>
      <c r="F7" s="7" t="s">
        <v>23</v>
      </c>
      <c r="G7" s="8"/>
    </row>
    <row r="8" spans="2:7" ht="28.8" x14ac:dyDescent="0.3">
      <c r="B8" s="6">
        <f ca="1">$C$4+(-8*7)</f>
        <v>46247</v>
      </c>
      <c r="C8" s="7" t="s">
        <v>21</v>
      </c>
      <c r="D8" s="8" t="s">
        <v>24</v>
      </c>
      <c r="E8" s="7"/>
      <c r="F8" s="7" t="s">
        <v>23</v>
      </c>
      <c r="G8" s="8"/>
    </row>
    <row r="9" spans="2:7" x14ac:dyDescent="0.3">
      <c r="B9" s="9">
        <f ca="1">$C$4+(-7*7)</f>
        <v>46254</v>
      </c>
      <c r="C9" s="7" t="s">
        <v>21</v>
      </c>
      <c r="D9" s="8" t="s">
        <v>25</v>
      </c>
      <c r="E9" s="7"/>
      <c r="F9" s="7" t="s">
        <v>23</v>
      </c>
      <c r="G9" s="8"/>
    </row>
    <row r="10" spans="2:7" ht="28.8" x14ac:dyDescent="0.3">
      <c r="B10" s="9">
        <f ca="1">$C$4+(-7*7)</f>
        <v>46254</v>
      </c>
      <c r="C10" s="7" t="s">
        <v>21</v>
      </c>
      <c r="D10" s="8" t="s">
        <v>26</v>
      </c>
      <c r="E10" s="7"/>
      <c r="F10" s="7" t="s">
        <v>23</v>
      </c>
      <c r="G10" s="8"/>
    </row>
    <row r="11" spans="2:7" x14ac:dyDescent="0.3">
      <c r="B11" s="10">
        <f ca="1">$C$4+(-6*7)</f>
        <v>46261</v>
      </c>
      <c r="C11" s="7" t="s">
        <v>21</v>
      </c>
      <c r="D11" s="8" t="s">
        <v>27</v>
      </c>
      <c r="E11" s="7"/>
      <c r="F11" s="7" t="s">
        <v>23</v>
      </c>
      <c r="G11" s="8"/>
    </row>
    <row r="12" spans="2:7" ht="28.8" x14ac:dyDescent="0.3">
      <c r="B12" s="10">
        <f ca="1">$C$4+(-6*7)</f>
        <v>46261</v>
      </c>
      <c r="C12" s="7" t="s">
        <v>21</v>
      </c>
      <c r="D12" s="8" t="s">
        <v>28</v>
      </c>
      <c r="E12" s="7"/>
      <c r="F12" s="7" t="s">
        <v>23</v>
      </c>
      <c r="G12" s="8"/>
    </row>
    <row r="13" spans="2:7" ht="28.8" x14ac:dyDescent="0.3">
      <c r="B13" s="11">
        <f ca="1">$C$4+(-5*7)</f>
        <v>46268</v>
      </c>
      <c r="C13" s="7" t="s">
        <v>21</v>
      </c>
      <c r="D13" s="8" t="s">
        <v>29</v>
      </c>
      <c r="E13" s="7"/>
      <c r="F13" s="7" t="s">
        <v>23</v>
      </c>
      <c r="G13" s="8"/>
    </row>
    <row r="14" spans="2:7" x14ac:dyDescent="0.3">
      <c r="B14" s="11">
        <f ca="1">$C$4+(-5*7)</f>
        <v>46268</v>
      </c>
      <c r="C14" s="7" t="s">
        <v>21</v>
      </c>
      <c r="D14" s="8" t="s">
        <v>30</v>
      </c>
      <c r="E14" s="7"/>
      <c r="F14" s="7" t="s">
        <v>23</v>
      </c>
      <c r="G14" s="8"/>
    </row>
    <row r="15" spans="2:7" ht="28.8" x14ac:dyDescent="0.3">
      <c r="B15" s="12">
        <f ca="1">$C$4+(-4*7)</f>
        <v>46275</v>
      </c>
      <c r="C15" s="7" t="s">
        <v>21</v>
      </c>
      <c r="D15" s="8" t="s">
        <v>31</v>
      </c>
      <c r="E15" s="7"/>
      <c r="F15" s="7" t="s">
        <v>23</v>
      </c>
      <c r="G15" s="8"/>
    </row>
    <row r="16" spans="2:7" ht="28.8" x14ac:dyDescent="0.3">
      <c r="B16" s="12">
        <f ca="1">$C$4+(-4*7)</f>
        <v>46275</v>
      </c>
      <c r="C16" s="7" t="s">
        <v>21</v>
      </c>
      <c r="D16" s="8" t="s">
        <v>32</v>
      </c>
      <c r="E16" s="7"/>
      <c r="F16" s="7" t="s">
        <v>23</v>
      </c>
      <c r="G16" s="8"/>
    </row>
    <row r="17" spans="2:7" x14ac:dyDescent="0.3">
      <c r="B17" s="13">
        <f ca="1">$C$4+(-3*7)</f>
        <v>46282</v>
      </c>
      <c r="C17" s="7" t="s">
        <v>21</v>
      </c>
      <c r="D17" s="8" t="s">
        <v>33</v>
      </c>
      <c r="E17" s="7"/>
      <c r="F17" s="7" t="s">
        <v>23</v>
      </c>
      <c r="G17" s="8"/>
    </row>
    <row r="18" spans="2:7" ht="28.8" x14ac:dyDescent="0.3">
      <c r="B18" s="13">
        <f ca="1">$C$4+(-3*7)</f>
        <v>46282</v>
      </c>
      <c r="C18" s="7" t="s">
        <v>21</v>
      </c>
      <c r="D18" s="8" t="s">
        <v>34</v>
      </c>
      <c r="E18" s="7"/>
      <c r="F18" s="7" t="s">
        <v>23</v>
      </c>
      <c r="G18" s="8"/>
    </row>
    <row r="19" spans="2:7" x14ac:dyDescent="0.3">
      <c r="B19" s="14">
        <f ca="1">$C$4+(-2*7)</f>
        <v>46289</v>
      </c>
      <c r="C19" s="7" t="s">
        <v>21</v>
      </c>
      <c r="D19" s="8" t="s">
        <v>35</v>
      </c>
      <c r="E19" s="7"/>
      <c r="F19" s="7" t="s">
        <v>23</v>
      </c>
      <c r="G19" s="8"/>
    </row>
    <row r="20" spans="2:7" x14ac:dyDescent="0.3">
      <c r="B20" s="14">
        <f ca="1">$C$4+(-2*7)</f>
        <v>46289</v>
      </c>
      <c r="C20" s="7" t="s">
        <v>21</v>
      </c>
      <c r="D20" s="8" t="s">
        <v>36</v>
      </c>
      <c r="E20" s="7"/>
      <c r="F20" s="7" t="s">
        <v>23</v>
      </c>
      <c r="G20" s="8"/>
    </row>
    <row r="21" spans="2:7" x14ac:dyDescent="0.3">
      <c r="B21" s="15">
        <f ca="1">$C$4+(-1*7)</f>
        <v>46296</v>
      </c>
      <c r="C21" s="7" t="s">
        <v>21</v>
      </c>
      <c r="D21" s="8" t="s">
        <v>37</v>
      </c>
      <c r="E21" s="7"/>
      <c r="F21" s="7" t="s">
        <v>23</v>
      </c>
      <c r="G21" s="8"/>
    </row>
    <row r="22" spans="2:7" ht="28.8" x14ac:dyDescent="0.3">
      <c r="B22" s="15">
        <f ca="1">$C$4+(-1*7)</f>
        <v>46296</v>
      </c>
      <c r="C22" s="7" t="s">
        <v>21</v>
      </c>
      <c r="D22" s="8" t="s">
        <v>38</v>
      </c>
      <c r="E22" s="7"/>
      <c r="F22" s="7" t="s">
        <v>23</v>
      </c>
      <c r="G22" s="8"/>
    </row>
    <row r="23" spans="2:7" x14ac:dyDescent="0.3">
      <c r="B23" s="16">
        <f ca="1">$C$4+(0*7)</f>
        <v>46303</v>
      </c>
      <c r="C23" s="17" t="s">
        <v>39</v>
      </c>
      <c r="D23" s="18" t="s">
        <v>40</v>
      </c>
      <c r="E23" s="17"/>
      <c r="F23" s="17" t="s">
        <v>23</v>
      </c>
      <c r="G23" s="18"/>
    </row>
    <row r="24" spans="2:7" x14ac:dyDescent="0.3">
      <c r="B24" s="16">
        <f ca="1">$C$4+(0*7)</f>
        <v>46303</v>
      </c>
      <c r="C24" s="17" t="s">
        <v>39</v>
      </c>
      <c r="D24" s="18" t="s">
        <v>41</v>
      </c>
      <c r="E24" s="17"/>
      <c r="F24" s="17" t="s">
        <v>23</v>
      </c>
      <c r="G24" s="18"/>
    </row>
    <row r="25" spans="2:7" x14ac:dyDescent="0.3">
      <c r="B25" s="16">
        <f ca="1">$C$4+(0*7)</f>
        <v>46303</v>
      </c>
      <c r="C25" s="17" t="s">
        <v>39</v>
      </c>
      <c r="D25" s="18" t="s">
        <v>42</v>
      </c>
      <c r="E25" s="17"/>
      <c r="F25" s="17" t="s">
        <v>23</v>
      </c>
      <c r="G25" s="18"/>
    </row>
    <row r="26" spans="2:7" ht="28.8" x14ac:dyDescent="0.3">
      <c r="B26" s="16">
        <f ca="1">$C$4+(0*7)</f>
        <v>46303</v>
      </c>
      <c r="C26" s="17" t="s">
        <v>39</v>
      </c>
      <c r="D26" s="18" t="s">
        <v>43</v>
      </c>
      <c r="E26" s="17"/>
      <c r="F26" s="17" t="s">
        <v>23</v>
      </c>
      <c r="G26" s="18"/>
    </row>
    <row r="27" spans="2:7" ht="28.8" x14ac:dyDescent="0.3">
      <c r="B27" s="19">
        <f ca="1">$C$4+(1*7)</f>
        <v>46310</v>
      </c>
      <c r="C27" s="20" t="s">
        <v>44</v>
      </c>
      <c r="D27" s="21" t="s">
        <v>45</v>
      </c>
      <c r="E27" s="20"/>
      <c r="F27" s="20" t="s">
        <v>23</v>
      </c>
      <c r="G27" s="21"/>
    </row>
    <row r="28" spans="2:7" ht="28.8" x14ac:dyDescent="0.3">
      <c r="B28" s="19">
        <f ca="1">$C$4+(1*7)</f>
        <v>46310</v>
      </c>
      <c r="C28" s="20" t="s">
        <v>44</v>
      </c>
      <c r="D28" s="21" t="s">
        <v>46</v>
      </c>
      <c r="E28" s="20"/>
      <c r="F28" s="20" t="s">
        <v>23</v>
      </c>
      <c r="G28" s="21"/>
    </row>
    <row r="29" spans="2:7" x14ac:dyDescent="0.3">
      <c r="B29" s="22">
        <f ca="1">$C$4+(2*7)</f>
        <v>46317</v>
      </c>
      <c r="C29" s="20" t="s">
        <v>44</v>
      </c>
      <c r="D29" s="21" t="s">
        <v>47</v>
      </c>
      <c r="E29" s="20"/>
      <c r="F29" s="20" t="s">
        <v>23</v>
      </c>
      <c r="G29" s="21"/>
    </row>
    <row r="30" spans="2:7" ht="28.8" x14ac:dyDescent="0.3">
      <c r="B30" s="23">
        <f ca="1">$C$4+(3*7)</f>
        <v>46324</v>
      </c>
      <c r="C30" s="20" t="s">
        <v>44</v>
      </c>
      <c r="D30" s="21" t="s">
        <v>48</v>
      </c>
      <c r="E30" s="20"/>
      <c r="F30" s="20" t="s">
        <v>23</v>
      </c>
      <c r="G30" s="21"/>
    </row>
    <row r="31" spans="2:7" ht="28.8" x14ac:dyDescent="0.3">
      <c r="B31" s="24">
        <f ca="1">$C$4+(4*7)</f>
        <v>46331</v>
      </c>
      <c r="C31" s="20" t="s">
        <v>44</v>
      </c>
      <c r="D31" s="21" t="s">
        <v>49</v>
      </c>
      <c r="E31" s="20"/>
      <c r="F31" s="20" t="s">
        <v>23</v>
      </c>
      <c r="G31" s="21"/>
    </row>
    <row r="33" spans="2:2" x14ac:dyDescent="0.3">
      <c r="B33" s="25" t="s">
        <v>50</v>
      </c>
    </row>
    <row r="34" spans="2:2" x14ac:dyDescent="0.3">
      <c r="B34" s="26" t="s">
        <v>21</v>
      </c>
    </row>
    <row r="35" spans="2:2" x14ac:dyDescent="0.3">
      <c r="B35" s="27" t="s">
        <v>39</v>
      </c>
    </row>
    <row r="36" spans="2:2" x14ac:dyDescent="0.3">
      <c r="B36" s="28" t="s">
        <v>44</v>
      </c>
    </row>
  </sheetData>
  <dataValidations count="1">
    <dataValidation type="list" allowBlank="1" sqref="F7:F31" xr:uid="{00000000-0002-0000-01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 This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</cp:lastModifiedBy>
  <cp:revision>0</cp:revision>
  <dcterms:created xsi:type="dcterms:W3CDTF">2026-08-10T21:45:35Z</dcterms:created>
  <dcterms:modified xsi:type="dcterms:W3CDTF">2026-08-12T19:44:05Z</dcterms:modified>
  <dc:language>en-US</dc:language>
</cp:coreProperties>
</file>